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C8C8BDA4-7918-4069-85E5-23ABF76E5F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9" i="1" l="1"/>
  <c r="Q10" i="1"/>
  <c r="Q11" i="1"/>
  <c r="Q12" i="1"/>
  <c r="Q13" i="1"/>
  <c r="Q14" i="1"/>
  <c r="Q15" i="1"/>
  <c r="Q16" i="1"/>
  <c r="Q17" i="1"/>
  <c r="Q18" i="1"/>
  <c r="Q20" i="1"/>
  <c r="Q21" i="1"/>
  <c r="Q22" i="1"/>
  <c r="Q23" i="1"/>
  <c r="Q24" i="1"/>
  <c r="Q25" i="1"/>
  <c r="Q26" i="1"/>
  <c r="Q27" i="1"/>
  <c r="Q28" i="1"/>
  <c r="Q9" i="1"/>
  <c r="N8" i="1"/>
  <c r="M8" i="1"/>
  <c r="E8" i="1"/>
  <c r="F8" i="1" s="1"/>
  <c r="G8" i="1" s="1"/>
  <c r="H8" i="1" s="1"/>
  <c r="I8" i="1" s="1"/>
  <c r="J8" i="1" s="1"/>
  <c r="K8" i="1" s="1"/>
  <c r="L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M11" authorId="0" shapeId="0" xr:uid="{50036834-8C37-4A7B-AF52-C47B16D2509C}">
      <text>
        <r>
          <rPr>
            <b/>
            <sz val="9"/>
            <color indexed="81"/>
            <rFont val="Tahoma"/>
            <charset val="1"/>
          </rPr>
          <t>No corrió correctamente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charset val="1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charset val="1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<sst xmlns="http://schemas.openxmlformats.org/spreadsheetml/2006/main" count="167" uniqueCount="31">
  <si>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</si>
  <si>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</si>
  <si>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</si>
  <si>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</si>
  <si>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</si>
  <si>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</si>
  <si>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</si>
  <si>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</si>
  <si>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</si>
  <si>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</si>
  <si>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</si>
  <si>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</si>
  <si>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</si>
  <si>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</si>
  <si>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</si>
  <si>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</si>
  <si>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</si>
  <si>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</si>
  <si>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</si>
  <si>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</si>
  <si>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</si>
  <si>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</si>
  <si>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</si>
  <si>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</si>
  <si>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</si>
  <si>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</si>
  <si>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</si>
  <si>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</si>
  <si>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</si>
  <si>
    <t>P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</si>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</sst>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28"/>
  <sheetViews>
    <sheetView tabSelected="1" workbookViewId="0">
      <selection activeCell="Q9" sqref="Q9:Q27"/>
    </sheetView>
  </sheetViews>
  <sheetFormatPr baseColWidth="10" defaultColWidth="9.140625" defaultRowHeight="15" x14ac:dyDescent="0.25"/>
  <cols>
    <col min="2" max="2" width="23" bestFit="1" customWidth="1"/>
    <col min="17" max="17" width="24.7109375" bestFit="1" customWidth="1"/>
  </cols>
  <sheetData>
    <row r="2" spans="2:17" ht="15.75" thickBot="1" x14ac:dyDescent="0.3">
      <c r="H2" s="22" t="s">
        <v>7</v>
      </c>
      <c r="I2" s="23"/>
      <c r="J2" s="23"/>
      <c r="K2" s="24"/>
    </row>
    <row r="3" spans="2:17" ht="15.75" thickBot="1" x14ac:dyDescent="0.3">
      <c r="B3" s="1" t="s">
        <v>2</v>
      </c>
      <c r="C3" s="2"/>
      <c r="D3" s="20">
        <v>45971.901979166665</v>
      </c>
      <c r="E3" s="21"/>
      <c r="H3" s="11" t="s">
        <v>4</v>
      </c>
      <c r="I3" s="12" t="s">
        <v>8</v>
      </c>
      <c r="J3" s="12"/>
      <c r="K3" s="13"/>
    </row>
    <row r="5" spans="2:17" ht="15.75" thickBot="1" x14ac:dyDescent="0.3"/>
    <row r="6" spans="2:17" ht="14.25" customHeight="1" x14ac:dyDescent="0.2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6"/>
    </row>
    <row r="7" spans="2:17" ht="14.25" customHeight="1" x14ac:dyDescent="0.2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>
        <v>8</v>
      </c>
      <c r="N7" s="9"/>
      <c r="O7" s="16"/>
    </row>
    <row r="8" spans="2:17" ht="15.75" thickBot="1" x14ac:dyDescent="0.3">
      <c r="B8" s="19"/>
      <c r="C8" s="6"/>
      <c r="D8" s="7">
        <v>45894</v>
      </c>
      <c r="E8" s="7">
        <f t="shared" ref="E8:K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:O8" si="1">+K8+7</f>
        <v>45950</v>
      </c>
      <c r="M8" s="7">
        <f t="shared" si="1"/>
        <v>45957</v>
      </c>
      <c r="N8" s="7">
        <f>+O8-7</f>
        <v>45964</v>
      </c>
      <c r="O8" s="8">
        <v>45971</v>
      </c>
    </row>
    <row r="9" spans="2:17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9"/>
      <c r="O9" s="10"/>
      <c r="Q9" t="str">
        <f>+IF(COUNTA(D9:O9)&gt;6,B9,"")</f>
        <v>Bidal, Mateo</v>
      </c>
    </row>
    <row r="10" spans="2:17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 t="s">
        <v>11</v>
      </c>
      <c r="N10" s="9"/>
      <c r="O10" s="10"/>
      <c r="Q10" t="str">
        <f t="shared" ref="Q10:Q28" si="2">+IF(COUNTA(D10:O10)&gt;6,B10,"")</f>
        <v>Bonahora, Leandro Nahuel</v>
      </c>
    </row>
    <row r="11" spans="2:17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 t="s">
        <v>4</v>
      </c>
      <c r="N11" s="9"/>
      <c r="O11" s="10"/>
      <c r="Q11" t="str">
        <f t="shared" si="2"/>
        <v>Bressan, Diane</v>
      </c>
    </row>
    <row r="12" spans="2:17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 t="s">
        <v>11</v>
      </c>
      <c r="N12" s="9"/>
      <c r="O12" s="10"/>
      <c r="Q12" t="str">
        <f t="shared" si="2"/>
        <v>Enrique, Matías</v>
      </c>
    </row>
    <row r="13" spans="2:17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/>
      <c r="L13" s="9"/>
      <c r="M13" s="9"/>
      <c r="N13" s="9"/>
      <c r="O13" s="10"/>
      <c r="Q13" t="str">
        <f t="shared" si="2"/>
        <v/>
      </c>
    </row>
    <row r="14" spans="2:17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 t="s">
        <v>26</v>
      </c>
      <c r="N14" s="9"/>
      <c r="O14" s="10"/>
      <c r="Q14" t="str">
        <f t="shared" si="2"/>
        <v>Gonzalez, Araceli</v>
      </c>
    </row>
    <row r="15" spans="2:17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9"/>
      <c r="O15" s="10"/>
      <c r="Q15" t="str">
        <f t="shared" si="2"/>
        <v/>
      </c>
    </row>
    <row r="16" spans="2:17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9"/>
      <c r="O16" s="10"/>
      <c r="Q16" t="str">
        <f t="shared" si="2"/>
        <v/>
      </c>
    </row>
    <row r="17" spans="2:17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 t="s">
        <v>11</v>
      </c>
      <c r="N17" s="9"/>
      <c r="O17" s="10" t="s">
        <v>29</v>
      </c>
      <c r="Q17" t="str">
        <f t="shared" si="2"/>
        <v>Marello, Franco</v>
      </c>
    </row>
    <row r="18" spans="2:17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9"/>
      <c r="O18" s="10" t="s">
        <v>30</v>
      </c>
      <c r="Q18" t="str">
        <f t="shared" si="2"/>
        <v/>
      </c>
    </row>
    <row r="19" spans="2:17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 t="s">
        <v>11</v>
      </c>
      <c r="N19" s="9"/>
      <c r="O19" s="10"/>
      <c r="Q19" t="str">
        <f>+IF(COUNTA(D19:O19)&gt;6,B19,"")</f>
        <v>Ojeda, Paula</v>
      </c>
    </row>
    <row r="20" spans="2:17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9"/>
      <c r="O20" s="10"/>
      <c r="Q20" t="str">
        <f t="shared" si="2"/>
        <v>Orellana, Demian</v>
      </c>
    </row>
    <row r="21" spans="2:17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11</v>
      </c>
      <c r="M21" s="9" t="s">
        <v>11</v>
      </c>
      <c r="N21" s="9"/>
      <c r="O21" s="10"/>
      <c r="Q21" t="str">
        <f t="shared" si="2"/>
        <v>Pereyra, Franco Andrés</v>
      </c>
    </row>
    <row r="22" spans="2:17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12</v>
      </c>
      <c r="L22" s="9" t="s">
        <v>12</v>
      </c>
      <c r="M22" s="9"/>
      <c r="N22" s="9"/>
      <c r="O22" s="10"/>
      <c r="Q22" t="str">
        <f t="shared" si="2"/>
        <v>Pontelli, Lara</v>
      </c>
    </row>
    <row r="23" spans="2:17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 t="s">
        <v>11</v>
      </c>
      <c r="N23" s="9"/>
      <c r="O23" s="10"/>
      <c r="Q23" t="str">
        <f t="shared" si="2"/>
        <v>Ríos, Joaquín</v>
      </c>
    </row>
    <row r="24" spans="2:17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 t="s">
        <v>26</v>
      </c>
      <c r="M24" s="9" t="s">
        <v>12</v>
      </c>
      <c r="N24" s="9"/>
      <c r="O24" s="10"/>
      <c r="Q24" t="str">
        <f t="shared" si="2"/>
        <v>Silvestri, Julian</v>
      </c>
    </row>
    <row r="25" spans="2:17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 t="s">
        <v>11</v>
      </c>
      <c r="N25" s="9" t="s">
        <v>29</v>
      </c>
      <c r="O25" s="10" t="s">
        <v>29</v>
      </c>
      <c r="Q25" t="str">
        <f t="shared" si="2"/>
        <v>Solis, Melina</v>
      </c>
    </row>
    <row r="26" spans="2:17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 t="s">
        <v>12</v>
      </c>
      <c r="N26" s="9"/>
      <c r="O26" s="10"/>
      <c r="Q26" t="str">
        <f t="shared" si="2"/>
        <v>Spinetta, Eros</v>
      </c>
    </row>
    <row r="27" spans="2:17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9" t="s">
        <v>4</v>
      </c>
      <c r="N27" s="9"/>
      <c r="O27" s="10"/>
      <c r="Q27" t="str">
        <f t="shared" si="2"/>
        <v>Tisocco, Augusto</v>
      </c>
    </row>
    <row r="28" spans="2:17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9"/>
      <c r="O28" s="10"/>
      <c r="Q28" t="str">
        <f t="shared" si="2"/>
        <v/>
      </c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O6"/>
  </mergeCells>
  <conditionalFormatting sqref="D9:O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2025-11-11T00:46:41Z</dcterms:modified>
</cp:coreProperties>
</file>