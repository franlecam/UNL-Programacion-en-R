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abajos\Optativa-FCE\UNL-Programacion-en-R\"/>
    </mc:Choice>
  </mc:AlternateContent>
  <xr:revisionPtr revIDLastSave="0" documentId="13_ncr:1_{6B7A2F50-04A4-4466-9062-EAF627E56F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8" i="1" l="1"/>
  <c r="E8" i="1"/>
  <c r="F8" i="1" s="1"/>
  <c r="G8" i="1" s="1"/>
  <c r="H8" i="1" s="1"/>
  <c r="I8" i="1" s="1"/>
  <c r="J8" i="1" s="1"/>
  <c r="K8" i="1" s="1"/>
  <c r="L8" i="1" s="1"/>
  <c r="M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L11" authorId="0" shapeId="0" xr:uid="{C3304D79-866C-49AF-B0D8-22F45C937B79}">
      <text>
        <r>
          <rPr>
            <b/>
            <sz val="9"/>
            <color indexed="81"/>
            <rFont val="Tahoma"/>
            <family val="2"/>
          </rPr>
          <t>Fallo el código:
&gt; stopifnot(length(anios_disp) &gt; 0)  # si falla, la lectura/pivoteo no encontró años
Error: length(anios_disp) &gt; 0 is not TRUE</t>
        </r>
      </text>
    </comment>
    <comment ref="M11" authorId="0" shapeId="0" xr:uid="{50036834-8C37-4A7B-AF52-C47B16D2509C}">
      <text>
        <r>
          <rPr>
            <b/>
            <sz val="9"/>
            <color indexed="81"/>
            <rFont val="Tahoma"/>
            <family val="2"/>
          </rPr>
          <t>No corrió correctamente</t>
        </r>
      </text>
    </comment>
    <comment ref="L12" authorId="0" shapeId="0" xr:uid="{AE1C352F-378E-4B23-8CC9-32F8C2C8966E}">
      <text>
        <r>
          <rPr>
            <sz val="9"/>
            <color indexed="81"/>
            <rFont val="Tahoma"/>
            <family val="2"/>
          </rPr>
          <t>Falló el RMD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L19" authorId="0" shapeId="0" xr:uid="{C01F821D-266A-4607-A166-0C1DBB03F325}">
      <text>
        <r>
          <rPr>
            <b/>
            <sz val="9"/>
            <color indexed="81"/>
            <rFont val="Tahoma"/>
            <family val="2"/>
          </rPr>
          <t xml:space="preserve">En el archivo _1, faltaba cargar un paquete para usar la función ne_state en chunk de línea 135, y otros chunks (antepenúltimo y último). Se pudieron correr luego de correrlos.
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L26" authorId="0" shapeId="0" xr:uid="{269803E2-4E04-4DA6-8BCF-E9DC16159EA6}">
      <text>
        <r>
          <rPr>
            <b/>
            <sz val="9"/>
            <color indexed="81"/>
            <rFont val="Tahoma"/>
            <family val="2"/>
          </rPr>
          <t>Faltó elaboración de dashboard</t>
        </r>
      </text>
    </comment>
  </commentList>
</comments>
</file>

<file path=xl/sharedStrings.xml><?xml version="1.0" encoding="utf-8"?>
<sst xmlns="http://schemas.openxmlformats.org/spreadsheetml/2006/main" count="186" uniqueCount="33">
  <si>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</si>
  <si>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</si>
  <si>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</si>
  <si>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</si>
  <si>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</si>
  <si>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</si>
  <si>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</si>
  <si>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</si>
  <si>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</si>
  <si>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</si>
  <si>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</si>
  <si>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</si>
  <si>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</si>
  <si>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</si>
  <si>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</si>
  <si>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</si>
  <si>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</si>
  <si>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</si>
  <si>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</si>
  <si>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</si>
  <si>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</si>
  <si>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</si>
  <si>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</si>
  <si>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</si>
  <si>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</si>
  <si>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</si>
  <si>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</si>
  <si>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</si>
  <si>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</si>
  <si>
    <t>P</t>
  </si>
  <si>
    <t xml:space="preserve"> </t>
  </si>
  <si>
    <t>Asiste</t>
  </si>
  <si>
    <t>Defensa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</si>
</sst>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0" borderId="19" xfId="0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28"/>
  <sheetViews>
    <sheetView tabSelected="1" zoomScale="85" zoomScaleNormal="85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D4" sqref="D4"/>
    </sheetView>
  </sheetViews>
  <sheetFormatPr baseColWidth="10" defaultColWidth="9.140625" defaultRowHeight="15" x14ac:dyDescent="0.25"/>
  <cols>
    <col min="2" max="2" width="23" bestFit="1" customWidth="1"/>
    <col min="17" max="17" width="24.7109375" bestFit="1" customWidth="1"/>
  </cols>
  <sheetData>
    <row r="2" spans="2:17" ht="15.75" thickBot="1" x14ac:dyDescent="0.3">
      <c r="H2" s="23" t="s">
        <v>7</v>
      </c>
      <c r="I2" s="24"/>
      <c r="J2" s="24"/>
      <c r="K2" s="25"/>
    </row>
    <row r="3" spans="2:17" ht="15.75" thickBot="1" x14ac:dyDescent="0.3">
      <c r="B3" s="1" t="s">
        <v>2</v>
      </c>
      <c r="C3" s="2"/>
      <c r="D3" s="21">
        <v>45977.733472222222</v>
      </c>
      <c r="E3" s="22"/>
      <c r="H3" s="11" t="s">
        <v>4</v>
      </c>
      <c r="I3" s="12" t="s">
        <v>8</v>
      </c>
      <c r="J3" s="12"/>
      <c r="K3" s="13"/>
    </row>
    <row r="5" spans="2:17" ht="15.75" thickBot="1" x14ac:dyDescent="0.3"/>
    <row r="6" spans="2:17" ht="14.25" customHeight="1" x14ac:dyDescent="0.25">
      <c r="B6" s="18" t="s">
        <v>0</v>
      </c>
      <c r="C6" s="3"/>
      <c r="D6" s="26" t="s">
        <v>28</v>
      </c>
      <c r="E6" s="26"/>
      <c r="F6" s="26"/>
      <c r="G6" s="26"/>
      <c r="H6" s="26"/>
      <c r="I6" s="26"/>
      <c r="J6" s="26"/>
      <c r="K6" s="26"/>
      <c r="L6" s="26"/>
      <c r="M6" s="26"/>
      <c r="N6" s="26"/>
      <c r="O6" s="27"/>
      <c r="Q6" s="28" t="s">
        <v>32</v>
      </c>
    </row>
    <row r="7" spans="2:17" ht="14.25" customHeight="1" x14ac:dyDescent="0.25">
      <c r="B7" s="19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>
        <v>8</v>
      </c>
      <c r="N7" s="9"/>
      <c r="O7" s="16"/>
      <c r="Q7" s="29"/>
    </row>
    <row r="8" spans="2:17" ht="15.75" thickBot="1" x14ac:dyDescent="0.3">
      <c r="B8" s="20"/>
      <c r="C8" s="6"/>
      <c r="D8" s="7">
        <v>45894</v>
      </c>
      <c r="E8" s="7">
        <f t="shared" ref="E8:K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:M8" si="1">+K8+7</f>
        <v>45950</v>
      </c>
      <c r="M8" s="7">
        <f t="shared" si="1"/>
        <v>45957</v>
      </c>
      <c r="N8" s="7">
        <f>+O8-7</f>
        <v>45964</v>
      </c>
      <c r="O8" s="8">
        <v>45971</v>
      </c>
      <c r="Q8" s="17"/>
    </row>
    <row r="9" spans="2:17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15"/>
      <c r="K9" s="9" t="s">
        <v>11</v>
      </c>
      <c r="L9" s="9" t="s">
        <v>26</v>
      </c>
      <c r="M9" s="9"/>
      <c r="N9" s="9"/>
      <c r="O9" s="10"/>
      <c r="Q9" s="17" t="s">
        <v>31</v>
      </c>
    </row>
    <row r="10" spans="2:17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15"/>
      <c r="K10" s="9" t="s">
        <v>12</v>
      </c>
      <c r="L10" s="9" t="s">
        <v>11</v>
      </c>
      <c r="M10" s="9" t="s">
        <v>11</v>
      </c>
      <c r="N10" s="9"/>
      <c r="O10" s="10"/>
      <c r="Q10" s="17" t="s">
        <v>31</v>
      </c>
    </row>
    <row r="11" spans="2:17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15"/>
      <c r="K11" s="9" t="s">
        <v>12</v>
      </c>
      <c r="L11" s="9" t="s">
        <v>12</v>
      </c>
      <c r="M11" s="9" t="s">
        <v>4</v>
      </c>
      <c r="N11" s="9"/>
      <c r="O11" s="10"/>
      <c r="Q11" s="17" t="s">
        <v>31</v>
      </c>
    </row>
    <row r="12" spans="2:17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15"/>
      <c r="K12" s="9" t="s">
        <v>26</v>
      </c>
      <c r="L12" s="9" t="s">
        <v>11</v>
      </c>
      <c r="M12" s="9" t="s">
        <v>11</v>
      </c>
      <c r="N12" s="9"/>
      <c r="O12" s="10"/>
      <c r="Q12" s="17" t="s">
        <v>31</v>
      </c>
    </row>
    <row r="13" spans="2:17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14" t="s">
        <v>12</v>
      </c>
      <c r="J13" s="15"/>
      <c r="K13" s="9" t="s">
        <v>4</v>
      </c>
      <c r="L13" s="9" t="s">
        <v>4</v>
      </c>
      <c r="M13" s="9" t="s">
        <v>4</v>
      </c>
      <c r="N13" s="9"/>
      <c r="O13" s="10"/>
      <c r="Q13" s="17" t="s">
        <v>31</v>
      </c>
    </row>
    <row r="14" spans="2:17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5"/>
      <c r="K14" s="14" t="s">
        <v>26</v>
      </c>
      <c r="L14" s="9" t="s">
        <v>26</v>
      </c>
      <c r="M14" s="9" t="s">
        <v>26</v>
      </c>
      <c r="N14" s="9"/>
      <c r="O14" s="10"/>
      <c r="Q14" s="17"/>
    </row>
    <row r="15" spans="2:17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15"/>
      <c r="K15" s="9"/>
      <c r="L15" s="9"/>
      <c r="M15" s="9"/>
      <c r="N15" s="9"/>
      <c r="O15" s="10"/>
      <c r="Q15" s="17"/>
    </row>
    <row r="16" spans="2:17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15"/>
      <c r="K16" s="9"/>
      <c r="L16" s="9"/>
      <c r="M16" s="9"/>
      <c r="N16" s="9"/>
      <c r="O16" s="10"/>
      <c r="Q16" s="17"/>
    </row>
    <row r="17" spans="2:17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15"/>
      <c r="K17" s="9" t="s">
        <v>26</v>
      </c>
      <c r="L17" s="9" t="s">
        <v>26</v>
      </c>
      <c r="M17" s="9" t="s">
        <v>11</v>
      </c>
      <c r="N17" s="9"/>
      <c r="O17" s="10" t="s">
        <v>29</v>
      </c>
      <c r="Q17" s="17" t="s">
        <v>31</v>
      </c>
    </row>
    <row r="18" spans="2:17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15"/>
      <c r="K18" s="9"/>
      <c r="L18" s="9"/>
      <c r="M18" s="9"/>
      <c r="N18" s="9"/>
      <c r="O18" s="10" t="s">
        <v>30</v>
      </c>
      <c r="Q18" s="17"/>
    </row>
    <row r="19" spans="2:17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15"/>
      <c r="K19" s="9" t="s">
        <v>11</v>
      </c>
      <c r="L19" s="9" t="s">
        <v>11</v>
      </c>
      <c r="M19" s="9" t="s">
        <v>11</v>
      </c>
      <c r="N19" s="9"/>
      <c r="O19" s="10"/>
      <c r="Q19" s="17" t="s">
        <v>31</v>
      </c>
    </row>
    <row r="20" spans="2:17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15"/>
      <c r="K20" s="9" t="s">
        <v>11</v>
      </c>
      <c r="L20" s="9" t="s">
        <v>26</v>
      </c>
      <c r="M20" s="9"/>
      <c r="N20" s="9"/>
      <c r="O20" s="10"/>
      <c r="Q20" s="17" t="s">
        <v>31</v>
      </c>
    </row>
    <row r="21" spans="2:17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15"/>
      <c r="K21" s="9" t="s">
        <v>12</v>
      </c>
      <c r="L21" s="9" t="s">
        <v>11</v>
      </c>
      <c r="M21" s="9" t="s">
        <v>11</v>
      </c>
      <c r="N21" s="9"/>
      <c r="O21" s="10"/>
      <c r="Q21" s="17" t="s">
        <v>31</v>
      </c>
    </row>
    <row r="22" spans="2:17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15"/>
      <c r="K22" s="9" t="s">
        <v>12</v>
      </c>
      <c r="L22" s="9" t="s">
        <v>12</v>
      </c>
      <c r="M22" s="9"/>
      <c r="N22" s="9"/>
      <c r="O22" s="10"/>
      <c r="Q22" s="17"/>
    </row>
    <row r="23" spans="2:17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5"/>
      <c r="K23" s="14" t="s">
        <v>12</v>
      </c>
      <c r="L23" s="9"/>
      <c r="M23" s="9" t="s">
        <v>11</v>
      </c>
      <c r="N23" s="9"/>
      <c r="O23" s="10"/>
      <c r="Q23" s="17" t="s">
        <v>31</v>
      </c>
    </row>
    <row r="24" spans="2:17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12</v>
      </c>
      <c r="I24" s="9" t="s">
        <v>12</v>
      </c>
      <c r="J24" s="15"/>
      <c r="K24" s="9" t="s">
        <v>11</v>
      </c>
      <c r="L24" s="9" t="s">
        <v>26</v>
      </c>
      <c r="M24" s="9" t="s">
        <v>12</v>
      </c>
      <c r="N24" s="9"/>
      <c r="O24" s="10"/>
      <c r="Q24" s="17" t="s">
        <v>31</v>
      </c>
    </row>
    <row r="25" spans="2:17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15"/>
      <c r="K25" s="9" t="s">
        <v>12</v>
      </c>
      <c r="L25" s="9"/>
      <c r="M25" s="9" t="s">
        <v>11</v>
      </c>
      <c r="N25" s="9" t="s">
        <v>29</v>
      </c>
      <c r="O25" s="10" t="s">
        <v>29</v>
      </c>
      <c r="Q25" s="17" t="s">
        <v>31</v>
      </c>
    </row>
    <row r="26" spans="2:17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15"/>
      <c r="K26" s="9" t="s">
        <v>11</v>
      </c>
      <c r="L26" s="9" t="s">
        <v>12</v>
      </c>
      <c r="M26" s="9" t="s">
        <v>12</v>
      </c>
      <c r="N26" s="9"/>
      <c r="O26" s="10"/>
      <c r="Q26" s="17" t="s">
        <v>31</v>
      </c>
    </row>
    <row r="27" spans="2:17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15"/>
      <c r="K27" s="9" t="s">
        <v>12</v>
      </c>
      <c r="L27" s="9" t="s">
        <v>12</v>
      </c>
      <c r="M27" s="9" t="s">
        <v>4</v>
      </c>
      <c r="N27" s="9"/>
      <c r="O27" s="10"/>
      <c r="Q27" s="17" t="s">
        <v>31</v>
      </c>
    </row>
    <row r="28" spans="2:17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15"/>
      <c r="K28" s="9"/>
      <c r="L28" s="9"/>
      <c r="M28" s="9"/>
      <c r="N28" s="9"/>
      <c r="O28" s="10"/>
      <c r="Q28" s="17" t="s">
        <v>31</v>
      </c>
    </row>
  </sheetData>
  <sortState xmlns:xlrd2="http://schemas.microsoft.com/office/spreadsheetml/2017/richdata2" ref="B9:K28">
    <sortCondition ref="B9:B28"/>
  </sortState>
  <mergeCells count="5">
    <mergeCell ref="B6:B8"/>
    <mergeCell ref="D3:E3"/>
    <mergeCell ref="H2:K2"/>
    <mergeCell ref="D6:O6"/>
    <mergeCell ref="Q6:Q7"/>
  </mergeCells>
  <conditionalFormatting sqref="D9:O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2025-11-16T20:36:15Z</dcterms:modified>
</cp:coreProperties>
</file>